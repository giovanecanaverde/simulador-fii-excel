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dor" sheetId="1" r:id="rId5"/>
    <sheet state="visible" name="Apoio" sheetId="2" r:id="rId6"/>
  </sheets>
  <definedNames>
    <definedName name="taxa_mensal">Simulador!$D$12</definedName>
    <definedName name="prazo_anos">Simulador!$D$11</definedName>
    <definedName name="aporte">Simulador!$D$10</definedName>
  </definedNames>
  <calcPr/>
</workbook>
</file>

<file path=xl/sharedStrings.xml><?xml version="1.0" encoding="utf-8"?>
<sst xmlns="http://schemas.openxmlformats.org/spreadsheetml/2006/main" count="86" uniqueCount="52">
  <si>
    <t>Chave Composta</t>
  </si>
  <si>
    <t>Perfil</t>
  </si>
  <si>
    <t>Tipo FII</t>
  </si>
  <si>
    <t>Percentual (%)</t>
  </si>
  <si>
    <t>ConservadorTijolo</t>
  </si>
  <si>
    <t>Conservador</t>
  </si>
  <si>
    <t>Tijolo</t>
  </si>
  <si>
    <t>ConservadorPapel</t>
  </si>
  <si>
    <t>Papel</t>
  </si>
  <si>
    <t>ConservadorFOF</t>
  </si>
  <si>
    <t>FOF</t>
  </si>
  <si>
    <t>ConservadorDesenvolvimento</t>
  </si>
  <si>
    <t>Desenvolvimento</t>
  </si>
  <si>
    <t>ConservadorInfraestrutura</t>
  </si>
  <si>
    <t>Infraestrutura</t>
  </si>
  <si>
    <t>ConservadorOutros</t>
  </si>
  <si>
    <t>Outros</t>
  </si>
  <si>
    <t>ModeradoTijolo</t>
  </si>
  <si>
    <t>Moderado</t>
  </si>
  <si>
    <t>ModeradoPapel</t>
  </si>
  <si>
    <t>ModeradoFOF</t>
  </si>
  <si>
    <t>ModeradoDesenvolvimento</t>
  </si>
  <si>
    <t>ModeradoInfraestrutura</t>
  </si>
  <si>
    <t>ModeradoOutros</t>
  </si>
  <si>
    <t>ArrojadoTijolo</t>
  </si>
  <si>
    <t>Arrojado</t>
  </si>
  <si>
    <t>ArrojadoPapel</t>
  </si>
  <si>
    <t>ArrojadoFOF</t>
  </si>
  <si>
    <t>ArrojadoDesenvolvimento</t>
  </si>
  <si>
    <t>ArrojadoInfraestrutura</t>
  </si>
  <si>
    <t>ArrojadoOutros</t>
  </si>
  <si>
    <t>SIMULADOR DE INVESTIMENTOS EM FIIs</t>
  </si>
  <si>
    <t>Preencha os campos brancos (editáveis). As células verdes são calculadas automaticamente.</t>
  </si>
  <si>
    <t>1. PARÂMETROS DA SIMULAÇÃO</t>
  </si>
  <si>
    <t>3. PROJEÇÃO DE CENÁRIOS DE TEMPO</t>
  </si>
  <si>
    <t>Salário Mensal (R$):</t>
  </si>
  <si>
    <t>Anos</t>
  </si>
  <si>
    <t>Patrimônio Acumulado</t>
  </si>
  <si>
    <t>Dividendos/Mês</t>
  </si>
  <si>
    <t>Sugestão de Aporte (30%):</t>
  </si>
  <si>
    <t>Quanto Investir por Mês (Aporte):</t>
  </si>
  <si>
    <t>Por Quantos Anos (Prazo):</t>
  </si>
  <si>
    <t>Taxa de Rendimento Mensal (%):</t>
  </si>
  <si>
    <t>2. RESULTADOS PRINCIPAIS</t>
  </si>
  <si>
    <t>Patrimônio Acumulado:</t>
  </si>
  <si>
    <t>Dividendos Mensais Estimados:</t>
  </si>
  <si>
    <t>4. DIVISÃO DA CARTEIRA POR PERFIL DE INVESTIDOR</t>
  </si>
  <si>
    <t>Selecione o Perfil de Investidor:</t>
  </si>
  <si>
    <t>Tipo de Fundo (FII)</t>
  </si>
  <si>
    <t>% Alocado</t>
  </si>
  <si>
    <t>Aporte Mensal (R$)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</si>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</sst>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R$ #,##0.00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rgb="FFFFFFFF"/>
      <name val="Calibri"/>
    </font>
    <font/>
    <font>
      <i/>
      <sz val="9.0"/>
      <color rgb="FF595959"/>
      <name val="Calibri"/>
    </font>
    <font>
      <b/>
      <sz val="12.0"/>
      <color rgb="FF2F5597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15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0" fontId="2" numFmtId="164" xfId="0" applyFont="1" applyNumberFormat="1"/>
    <xf borderId="0" fillId="0" fontId="2" numFmtId="0" xfId="0" applyAlignment="1" applyFont="1">
      <alignment readingOrder="0"/>
    </xf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0" fillId="0" fontId="5" numFmtId="0" xfId="0" applyAlignment="1" applyFont="1">
      <alignment horizontal="center" vertical="center"/>
    </xf>
    <xf borderId="8" fillId="2" fontId="6" numFmtId="0" xfId="0" applyAlignment="1" applyBorder="1" applyFill="1" applyFont="1">
      <alignment horizontal="left"/>
    </xf>
    <xf borderId="9" fillId="0" fontId="4" numFmtId="0" xfId="0" applyBorder="1" applyFont="1"/>
    <xf borderId="10" fillId="0" fontId="4" numFmtId="0" xfId="0" applyBorder="1" applyFont="1"/>
    <xf borderId="11" fillId="0" fontId="2" numFmtId="0" xfId="0" applyAlignment="1" applyBorder="1" applyFont="1">
      <alignment horizontal="left" vertical="center"/>
    </xf>
    <xf borderId="12" fillId="4" fontId="2" numFmtId="165" xfId="0" applyAlignment="1" applyBorder="1" applyFill="1" applyFont="1" applyNumberFormat="1">
      <alignment horizontal="right" vertical="center"/>
    </xf>
    <xf borderId="13" fillId="0" fontId="4" numFmtId="0" xfId="0" applyBorder="1" applyFont="1"/>
    <xf borderId="11" fillId="5" fontId="1" numFmtId="0" xfId="0" applyAlignment="1" applyBorder="1" applyFill="1" applyFont="1">
      <alignment horizontal="center" vertical="center"/>
    </xf>
    <xf borderId="12" fillId="6" fontId="1" numFmtId="165" xfId="0" applyAlignment="1" applyBorder="1" applyFill="1" applyFont="1" applyNumberFormat="1">
      <alignment horizontal="right" vertical="center"/>
    </xf>
    <xf borderId="11" fillId="0" fontId="2" numFmtId="0" xfId="0" applyAlignment="1" applyBorder="1" applyFont="1">
      <alignment horizontal="center" vertical="center"/>
    </xf>
    <xf borderId="11" fillId="6" fontId="2" numFmtId="165" xfId="0" applyAlignment="1" applyBorder="1" applyFill="1" applyFont="1" applyNumberFormat="1">
      <alignment horizontal="right" vertical="center"/>
    </xf>
    <xf borderId="12" fillId="4" fontId="2" numFmtId="1" xfId="0" applyAlignment="1" applyBorder="1" applyFill="1" applyFont="1" applyNumberFormat="1">
      <alignment horizontal="right" vertical="center"/>
    </xf>
    <xf borderId="12" fillId="4" fontId="2" numFmtId="10" xfId="0" applyAlignment="1" applyBorder="1" applyFill="1" applyFont="1" applyNumberFormat="1">
      <alignment horizontal="right" vertical="center"/>
    </xf>
    <xf borderId="11" fillId="0" fontId="1" numFmtId="0" xfId="0" applyAlignment="1" applyBorder="1" applyFont="1">
      <alignment horizontal="left" vertical="center"/>
    </xf>
    <xf borderId="9" fillId="4" fontId="6" numFmtId="0" xfId="0" applyBorder="1" applyFill="1" applyFont="1"/>
    <xf borderId="10" fillId="4" fontId="6" numFmtId="0" xfId="0" applyBorder="1" applyFill="1" applyFont="1"/>
    <xf borderId="0" fillId="0" fontId="1" numFmtId="0" xfId="0" applyAlignment="1" applyFont="1">
      <alignment horizontal="left" vertical="center"/>
    </xf>
    <xf borderId="14" fillId="4" fontId="1" numFmtId="0" xfId="0" applyAlignment="1" applyBorder="1" applyFill="1" applyFont="1">
      <alignment horizontal="center" vertical="center"/>
    </xf>
    <xf borderId="11" fillId="0" fontId="2" numFmtId="0" xfId="0" applyBorder="1" applyFont="1"/>
    <xf borderId="11" fillId="6" fontId="2" numFmtId="164" xfId="0" applyAlignment="1" applyBorder="1" applyFill="1" applyFont="1" applyNumberFormat="1">
      <alignment horizontal="right" vertical="center"/>
    </xf>
    <xf borderId="11" fillId="0" fontId="1" numFmtId="0" xfId="0" applyBorder="1" applyFont="1"/>
    <xf borderId="11" fillId="0" fontId="1" numFmtId="164" xfId="0" applyAlignment="1" applyBorder="1" applyFont="1" applyNumberFormat="1">
      <alignment horizontal="right" vertical="center"/>
    </xf>
    <xf borderId="11" fillId="0" fontId="1" numFmtId="165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Divisão do Aporte por Tipo de FII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Simulador!$D$21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Simulador!$C$22:$C$27</c:f>
            </c:strRef>
          </c:cat>
          <c:val>
            <c:numRef>
              <c:f>Simulador!$D$22:$D$27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14</xdr:row>
      <xdr:rowOff>0</xdr:rowOff>
    </xdr:from>
    <xdr:ext cx="3848100" cy="27051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29"/>
    <col customWidth="1" min="2" max="2" width="6.0"/>
    <col customWidth="1" min="3" max="3" width="32.0"/>
    <col customWidth="1" min="4" max="4" width="13.43"/>
    <col customWidth="1" min="5" max="5" width="18.0"/>
    <col customWidth="1" min="6" max="6" width="4.0"/>
    <col customWidth="1" min="7" max="7" width="12.0"/>
    <col customWidth="1" min="8" max="8" width="24.0"/>
    <col customWidth="1" min="9" max="9" width="22.0"/>
    <col customWidth="1" min="10" max="27" width="8.71"/>
  </cols>
  <sheetData>
    <row r="3" ht="24.0" customHeight="1">
      <c r="C3" s="5" t="s">
        <v>31</v>
      </c>
      <c r="D3" s="6"/>
      <c r="E3" s="6"/>
      <c r="F3" s="6"/>
      <c r="G3" s="6"/>
      <c r="H3" s="6"/>
      <c r="I3" s="7"/>
    </row>
    <row r="4" ht="24.0" customHeight="1">
      <c r="C4" s="8"/>
      <c r="D4" s="9"/>
      <c r="E4" s="9"/>
      <c r="F4" s="9"/>
      <c r="G4" s="9"/>
      <c r="H4" s="9"/>
      <c r="I4" s="10"/>
    </row>
    <row r="5" ht="18.0" customHeight="1">
      <c r="C5" s="11" t="s">
        <v>32</v>
      </c>
    </row>
    <row r="7">
      <c r="C7" s="12" t="s">
        <v>33</v>
      </c>
      <c r="D7" s="13"/>
      <c r="E7" s="14"/>
      <c r="G7" s="12" t="s">
        <v>34</v>
      </c>
      <c r="H7" s="13"/>
      <c r="I7" s="14"/>
    </row>
    <row r="8">
      <c r="C8" s="15" t="s">
        <v>35</v>
      </c>
      <c r="D8" s="16">
        <v>5000.0</v>
      </c>
      <c r="E8" s="17"/>
      <c r="G8" s="18" t="s">
        <v>36</v>
      </c>
      <c r="H8" s="18" t="s">
        <v>37</v>
      </c>
      <c r="I8" s="18" t="s">
        <v>38</v>
      </c>
    </row>
    <row r="9">
      <c r="C9" s="15" t="s">
        <v>39</v>
      </c>
      <c r="D9" s="19">
        <f>D8*0.3</f>
        <v>1500</v>
      </c>
      <c r="E9" s="17"/>
      <c r="G9" s="20">
        <v>2.0</v>
      </c>
      <c r="H9" s="21">
        <f>FV(taxa_mensal, G9*12, -aporte, 0, 0)</f>
        <v>39514.73267</v>
      </c>
      <c r="I9" s="21">
        <f>H9*taxa_mensal</f>
        <v>316.1178613</v>
      </c>
    </row>
    <row r="10">
      <c r="C10" s="15" t="s">
        <v>40</v>
      </c>
      <c r="D10" s="16">
        <v>1500.0</v>
      </c>
      <c r="E10" s="17"/>
      <c r="G10" s="20">
        <v>5.0</v>
      </c>
      <c r="H10" s="21">
        <f>FV(taxa_mensal, G10*12, -aporte, 0, 0)</f>
        <v>114935.8002</v>
      </c>
      <c r="I10" s="21">
        <f>H10*taxa_mensal</f>
        <v>919.486402</v>
      </c>
    </row>
    <row r="11">
      <c r="C11" s="15" t="s">
        <v>41</v>
      </c>
      <c r="D11" s="22">
        <v>10.0</v>
      </c>
      <c r="E11" s="17"/>
      <c r="G11" s="20">
        <v>10.0</v>
      </c>
      <c r="H11" s="21">
        <f>FV(taxa_mensal, G11*12, -aporte, 0, 0)</f>
        <v>300326.2041</v>
      </c>
      <c r="I11" s="21">
        <f>H11*taxa_mensal</f>
        <v>2402.609633</v>
      </c>
    </row>
    <row r="12">
      <c r="C12" s="15" t="s">
        <v>42</v>
      </c>
      <c r="D12" s="23">
        <v>0.008</v>
      </c>
      <c r="E12" s="17"/>
      <c r="G12" s="20">
        <v>20.0</v>
      </c>
      <c r="H12" s="21">
        <f>FV(taxa_mensal, G12*12, -aporte, 0, 0)</f>
        <v>1081696.829</v>
      </c>
      <c r="I12" s="21">
        <f>H12*taxa_mensal</f>
        <v>8653.574631</v>
      </c>
    </row>
    <row r="13">
      <c r="G13" s="20">
        <v>30.0</v>
      </c>
      <c r="H13" s="21">
        <f>FV(taxa_mensal, G13*12, -aporte, 0, 0)</f>
        <v>3114619.847</v>
      </c>
      <c r="I13" s="21">
        <f>H13*taxa_mensal</f>
        <v>24916.95878</v>
      </c>
    </row>
    <row r="14">
      <c r="C14" s="12" t="s">
        <v>43</v>
      </c>
      <c r="D14" s="13"/>
      <c r="E14" s="14"/>
    </row>
    <row r="15">
      <c r="C15" s="24" t="s">
        <v>44</v>
      </c>
      <c r="D15" s="19">
        <f>FV(taxa_mensal, prazo_anos*12, -aporte, 0, 0)</f>
        <v>300326.2041</v>
      </c>
      <c r="E15" s="17"/>
    </row>
    <row r="16">
      <c r="C16" s="24" t="s">
        <v>45</v>
      </c>
      <c r="D16" s="19">
        <f>D15*taxa_mensal</f>
        <v>2402.609633</v>
      </c>
      <c r="E16" s="17"/>
    </row>
    <row r="18">
      <c r="C18" s="12" t="s">
        <v>46</v>
      </c>
      <c r="D18" s="13"/>
      <c r="E18" s="13"/>
      <c r="F18" s="25"/>
      <c r="G18" s="25"/>
      <c r="H18" s="25"/>
      <c r="I18" s="26"/>
    </row>
    <row r="19">
      <c r="C19" s="27" t="s">
        <v>47</v>
      </c>
      <c r="E19" s="28" t="s">
        <v>18</v>
      </c>
    </row>
    <row r="21">
      <c r="C21" s="18" t="s">
        <v>48</v>
      </c>
      <c r="D21" s="18" t="s">
        <v>49</v>
      </c>
      <c r="E21" s="18" t="s">
        <v>50</v>
      </c>
    </row>
    <row r="22" ht="15.75" customHeight="1">
      <c r="C22" s="29" t="s">
        <v>6</v>
      </c>
      <c r="D22" s="30">
        <f>VLOOKUP($E$19&amp;C22, Apoio!A:D, 4, FALSE)</f>
        <v>0.4</v>
      </c>
      <c r="E22" s="21">
        <f>aporte*D22</f>
        <v>600</v>
      </c>
    </row>
    <row r="23" ht="15.75" customHeight="1">
      <c r="C23" s="29" t="s">
        <v>8</v>
      </c>
      <c r="D23" s="30">
        <f>VLOOKUP($E$19&amp;C23, Apoio!A:D, 4, FALSE)</f>
        <v>0.35</v>
      </c>
      <c r="E23" s="21">
        <f>aporte*D23</f>
        <v>525</v>
      </c>
    </row>
    <row r="24" ht="15.75" customHeight="1">
      <c r="C24" s="29" t="s">
        <v>10</v>
      </c>
      <c r="D24" s="30">
        <f>VLOOKUP($E$19&amp;C24, Apoio!A:D, 4, FALSE)</f>
        <v>0.15</v>
      </c>
      <c r="E24" s="21">
        <f>aporte*D24</f>
        <v>225</v>
      </c>
    </row>
    <row r="25" ht="15.75" customHeight="1">
      <c r="C25" s="29" t="s">
        <v>12</v>
      </c>
      <c r="D25" s="30">
        <f>VLOOKUP($E$19&amp;C25, Apoio!A:D, 4, FALSE)</f>
        <v>0.05</v>
      </c>
      <c r="E25" s="21">
        <f>aporte*D25</f>
        <v>75</v>
      </c>
    </row>
    <row r="26" ht="15.75" customHeight="1">
      <c r="C26" s="29" t="s">
        <v>14</v>
      </c>
      <c r="D26" s="30">
        <f>VLOOKUP($E$19&amp;C26,Apoio!A:D,4,FALSE)</f>
        <v>0.05</v>
      </c>
      <c r="E26" s="21">
        <f>aporte*D26</f>
        <v>75</v>
      </c>
    </row>
    <row r="27" ht="15.75" customHeight="1">
      <c r="C27" s="29" t="s">
        <v>16</v>
      </c>
      <c r="D27" s="30">
        <f>VLOOKUP($E$19&amp;C27, Apoio!A:D, 4, FALSE)</f>
        <v>0</v>
      </c>
      <c r="E27" s="21">
        <f>aporte*D27</f>
        <v>0</v>
      </c>
    </row>
    <row r="28" ht="15.75" customHeight="1">
      <c r="C28" s="31" t="s">
        <v>51</v>
      </c>
      <c r="D28" s="32">
        <f t="shared" ref="D28:E28" si="1">SUM(D22:D27)</f>
        <v>1</v>
      </c>
      <c r="E28" s="33">
        <f t="shared" si="1"/>
        <v>1500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D11:E11"/>
    <mergeCell ref="D12:E12"/>
    <mergeCell ref="C14:E14"/>
    <mergeCell ref="D15:E15"/>
    <mergeCell ref="D16:E16"/>
    <mergeCell ref="C18:E18"/>
    <mergeCell ref="C19:D19"/>
    <mergeCell ref="C3:I4"/>
    <mergeCell ref="C5:I5"/>
    <mergeCell ref="C7:E7"/>
    <mergeCell ref="G7:I7"/>
    <mergeCell ref="D8:E8"/>
    <mergeCell ref="D9:E9"/>
    <mergeCell ref="D10:E10"/>
  </mergeCells>
  <dataValidations>
    <dataValidation type="list" allowBlank="1" sqref="E19">
      <formula1>"Conservador,Moderado,Arrojado"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11.86"/>
    <col customWidth="1" min="3" max="3" width="15.86"/>
    <col customWidth="1" min="4" max="4" width="13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3">
        <v>0.5</v>
      </c>
    </row>
    <row r="3">
      <c r="A3" s="2" t="s">
        <v>7</v>
      </c>
      <c r="B3" s="2" t="s">
        <v>5</v>
      </c>
      <c r="C3" s="2" t="s">
        <v>8</v>
      </c>
      <c r="D3" s="3">
        <v>0.3</v>
      </c>
    </row>
    <row r="4">
      <c r="A4" s="2" t="s">
        <v>9</v>
      </c>
      <c r="B4" s="2" t="s">
        <v>5</v>
      </c>
      <c r="C4" s="2" t="s">
        <v>10</v>
      </c>
      <c r="D4" s="3">
        <v>0.2</v>
      </c>
    </row>
    <row r="5">
      <c r="A5" s="2" t="s">
        <v>11</v>
      </c>
      <c r="B5" s="2" t="s">
        <v>5</v>
      </c>
      <c r="C5" s="2" t="s">
        <v>12</v>
      </c>
      <c r="D5" s="3">
        <v>0.0</v>
      </c>
    </row>
    <row r="6">
      <c r="A6" s="4" t="s">
        <v>13</v>
      </c>
      <c r="B6" s="2" t="s">
        <v>5</v>
      </c>
      <c r="C6" s="2" t="s">
        <v>14</v>
      </c>
      <c r="D6" s="3">
        <v>0.0</v>
      </c>
    </row>
    <row r="7">
      <c r="A7" s="2" t="s">
        <v>15</v>
      </c>
      <c r="B7" s="2" t="s">
        <v>5</v>
      </c>
      <c r="C7" s="2" t="s">
        <v>16</v>
      </c>
      <c r="D7" s="3">
        <v>0.0</v>
      </c>
    </row>
    <row r="8">
      <c r="A8" s="2" t="s">
        <v>17</v>
      </c>
      <c r="B8" s="2" t="s">
        <v>18</v>
      </c>
      <c r="C8" s="2" t="s">
        <v>6</v>
      </c>
      <c r="D8" s="3">
        <v>0.4</v>
      </c>
    </row>
    <row r="9">
      <c r="A9" s="2" t="s">
        <v>19</v>
      </c>
      <c r="B9" s="2" t="s">
        <v>18</v>
      </c>
      <c r="C9" s="2" t="s">
        <v>8</v>
      </c>
      <c r="D9" s="3">
        <v>0.35</v>
      </c>
    </row>
    <row r="10">
      <c r="A10" s="2" t="s">
        <v>20</v>
      </c>
      <c r="B10" s="2" t="s">
        <v>18</v>
      </c>
      <c r="C10" s="2" t="s">
        <v>10</v>
      </c>
      <c r="D10" s="3">
        <v>0.15</v>
      </c>
    </row>
    <row r="11">
      <c r="A11" s="2" t="s">
        <v>21</v>
      </c>
      <c r="B11" s="2" t="s">
        <v>18</v>
      </c>
      <c r="C11" s="2" t="s">
        <v>12</v>
      </c>
      <c r="D11" s="3">
        <v>0.05</v>
      </c>
    </row>
    <row r="12">
      <c r="A12" s="4" t="s">
        <v>22</v>
      </c>
      <c r="B12" s="2" t="s">
        <v>18</v>
      </c>
      <c r="C12" s="2" t="s">
        <v>14</v>
      </c>
      <c r="D12" s="3">
        <v>0.05</v>
      </c>
    </row>
    <row r="13">
      <c r="A13" s="2" t="s">
        <v>23</v>
      </c>
      <c r="B13" s="2" t="s">
        <v>18</v>
      </c>
      <c r="C13" s="2" t="s">
        <v>16</v>
      </c>
      <c r="D13" s="3">
        <v>0.0</v>
      </c>
    </row>
    <row r="14">
      <c r="A14" s="2" t="s">
        <v>24</v>
      </c>
      <c r="B14" s="2" t="s">
        <v>25</v>
      </c>
      <c r="C14" s="2" t="s">
        <v>6</v>
      </c>
      <c r="D14" s="3">
        <v>0.25</v>
      </c>
    </row>
    <row r="15">
      <c r="A15" s="2" t="s">
        <v>26</v>
      </c>
      <c r="B15" s="2" t="s">
        <v>25</v>
      </c>
      <c r="C15" s="2" t="s">
        <v>8</v>
      </c>
      <c r="D15" s="3">
        <v>0.35</v>
      </c>
    </row>
    <row r="16">
      <c r="A16" s="2" t="s">
        <v>27</v>
      </c>
      <c r="B16" s="2" t="s">
        <v>25</v>
      </c>
      <c r="C16" s="2" t="s">
        <v>10</v>
      </c>
      <c r="D16" s="3">
        <v>0.1</v>
      </c>
    </row>
    <row r="17">
      <c r="A17" s="2" t="s">
        <v>28</v>
      </c>
      <c r="B17" s="2" t="s">
        <v>25</v>
      </c>
      <c r="C17" s="2" t="s">
        <v>12</v>
      </c>
      <c r="D17" s="3">
        <v>0.15</v>
      </c>
    </row>
    <row r="18">
      <c r="A18" s="4" t="s">
        <v>29</v>
      </c>
      <c r="B18" s="2" t="s">
        <v>25</v>
      </c>
      <c r="C18" s="2" t="s">
        <v>14</v>
      </c>
      <c r="D18" s="3">
        <v>0.1</v>
      </c>
    </row>
    <row r="19">
      <c r="A19" s="2" t="s">
        <v>30</v>
      </c>
      <c r="B19" s="2" t="s">
        <v>25</v>
      </c>
      <c r="C19" s="2" t="s">
        <v>16</v>
      </c>
      <c r="D19" s="3">
        <v>0.05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